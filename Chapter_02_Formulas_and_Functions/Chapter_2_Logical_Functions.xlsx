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22666f58fa8692/Desktop/Excel/"/>
    </mc:Choice>
  </mc:AlternateContent>
  <xr:revisionPtr revIDLastSave="0" documentId="8_{1CA35F07-7824-4675-88AC-BEEC6FDC6E22}" xr6:coauthVersionLast="47" xr6:coauthVersionMax="47" xr10:uidLastSave="{00000000-0000-0000-0000-000000000000}"/>
  <bookViews>
    <workbookView xWindow="-108" yWindow="-108" windowWidth="23256" windowHeight="13896" xr2:uid="{8CC555B5-3E06-43B6-9E5B-C0A1D3498DA4}"/>
  </bookViews>
  <sheets>
    <sheet name="Data_1" sheetId="7" r:id="rId1"/>
    <sheet name="Data_2" sheetId="10" r:id="rId2"/>
    <sheet name="Errors" sheetId="8" r:id="rId3"/>
    <sheet name="And-Or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7" l="1"/>
  <c r="Q5" i="7"/>
  <c r="Q6" i="7"/>
  <c r="Q7" i="7"/>
  <c r="Q8" i="7"/>
  <c r="Q9" i="7"/>
  <c r="Q10" i="7"/>
  <c r="Q11" i="7"/>
  <c r="Q12" i="7"/>
  <c r="R3" i="10" a="1"/>
  <c r="R3" i="10" s="1"/>
  <c r="R4" i="10" a="1"/>
  <c r="R4" i="10" s="1"/>
  <c r="R5" i="10" a="1"/>
  <c r="R5" i="10" s="1"/>
  <c r="R6" i="10" a="1"/>
  <c r="R6" i="10" s="1"/>
  <c r="R7" i="10" a="1"/>
  <c r="R7" i="10" s="1"/>
  <c r="R8" i="10" a="1"/>
  <c r="R8" i="10" s="1"/>
  <c r="R9" i="10" a="1"/>
  <c r="R9" i="10" s="1"/>
  <c r="R10" i="10" a="1"/>
  <c r="R10" i="10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 s="1"/>
  <c r="R17" i="10" a="1"/>
  <c r="R17" i="10" s="1"/>
  <c r="R18" i="10" a="1"/>
  <c r="R18" i="10" s="1"/>
  <c r="R19" i="10" a="1"/>
  <c r="R19" i="10" s="1"/>
  <c r="R20" i="10" a="1"/>
  <c r="R20" i="10" s="1"/>
  <c r="R21" i="10" a="1"/>
  <c r="R21" i="10" s="1"/>
  <c r="R2" i="10" a="1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3" i="10"/>
  <c r="K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J5" i="7" l="1"/>
  <c r="Q3" i="7"/>
  <c r="J11" i="7"/>
  <c r="J8" i="7"/>
  <c r="F6" i="8"/>
  <c r="P9" i="7"/>
  <c r="P8" i="7"/>
  <c r="P11" i="7"/>
  <c r="P12" i="7"/>
  <c r="P5" i="7"/>
  <c r="P7" i="7"/>
  <c r="J4" i="7"/>
  <c r="P6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10" i="7" l="1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<sst xmlns="http://schemas.openxmlformats.org/spreadsheetml/2006/main" count="209" uniqueCount="144">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</sst>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2" borderId="14" xfId="0" applyFont="1" applyFill="1" applyBorder="1" applyAlignment="1">
      <alignment horizontal="center" wrapText="1"/>
    </xf>
    <xf numFmtId="0" fontId="3" fillId="0" borderId="15" xfId="0" applyFont="1" applyBorder="1"/>
    <xf numFmtId="0" fontId="6" fillId="0" borderId="1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4" xfId="0" quotePrefix="1" applyFont="1" applyFill="1" applyBorder="1" applyAlignment="1">
      <alignment horizontal="center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abSelected="1" zoomScale="120" zoomScaleNormal="120" workbookViewId="0">
      <selection activeCell="M16" sqref="M1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29" t="s">
        <v>45</v>
      </c>
    </row>
    <row r="3" spans="2:17" ht="15" thickBot="1" x14ac:dyDescent="0.35">
      <c r="B3" s="5" t="s">
        <v>0</v>
      </c>
      <c r="C3" s="6">
        <v>3</v>
      </c>
      <c r="D3" s="6">
        <v>130000</v>
      </c>
      <c r="E3" s="7">
        <v>10000</v>
      </c>
      <c r="F3" s="23">
        <f>C3</f>
        <v>3</v>
      </c>
      <c r="G3" s="19">
        <f>D3+E3</f>
        <v>140000</v>
      </c>
      <c r="H3" s="20">
        <f>E3/D3</f>
        <v>7.6923076923076927E-2</v>
      </c>
      <c r="I3" s="21">
        <f>D3+D3*H3</f>
        <v>140000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0</v>
      </c>
      <c r="M3" s="19" t="b">
        <f t="shared" ref="M3:M12" si="1">$G3&gt;=$C$16</f>
        <v>1</v>
      </c>
      <c r="N3" s="19">
        <f>L3*M3</f>
        <v>0</v>
      </c>
      <c r="O3" s="19" t="b">
        <f>L3*M3=1</f>
        <v>0</v>
      </c>
      <c r="P3" s="19" t="b">
        <f>AND(L3,M3)</f>
        <v>0</v>
      </c>
      <c r="Q3" s="30" t="str">
        <f>IF(P3,"Goal Met","Not Met")</f>
        <v>Not Met</v>
      </c>
    </row>
    <row r="4" spans="2:17" ht="15" thickBot="1" x14ac:dyDescent="0.35">
      <c r="B4" s="5" t="s">
        <v>1</v>
      </c>
      <c r="C4" s="6">
        <v>2</v>
      </c>
      <c r="D4" s="6">
        <v>125000</v>
      </c>
      <c r="E4" s="7">
        <v>10000</v>
      </c>
      <c r="F4" s="23">
        <f t="shared" ref="F4:F12" si="2">C4</f>
        <v>2</v>
      </c>
      <c r="G4" s="19">
        <f t="shared" ref="G4:G12" si="3">D4+E4</f>
        <v>135000</v>
      </c>
      <c r="H4" s="20">
        <f t="shared" ref="H4:H12" si="4">E4/D4</f>
        <v>0.08</v>
      </c>
      <c r="I4" s="21">
        <f t="shared" ref="I4:I12" si="5">D4+D4*H4</f>
        <v>135000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0" t="str">
        <f t="shared" ref="Q4:Q12" si="11">IF(P4,"Goal Met","Not Met")</f>
        <v>Not Met</v>
      </c>
    </row>
    <row r="5" spans="2:17" ht="15" thickBot="1" x14ac:dyDescent="0.35">
      <c r="B5" s="5" t="s">
        <v>2</v>
      </c>
      <c r="C5" s="6">
        <v>8</v>
      </c>
      <c r="D5" s="6">
        <v>95000</v>
      </c>
      <c r="E5" s="7">
        <v>8000</v>
      </c>
      <c r="F5" s="23">
        <f t="shared" si="2"/>
        <v>8</v>
      </c>
      <c r="G5" s="19">
        <f t="shared" si="3"/>
        <v>103000</v>
      </c>
      <c r="H5" s="20">
        <f t="shared" si="4"/>
        <v>8.4210526315789472E-2</v>
      </c>
      <c r="I5" s="21">
        <f t="shared" si="5"/>
        <v>103000</v>
      </c>
      <c r="J5" s="19" t="b">
        <f t="shared" si="6"/>
        <v>1</v>
      </c>
      <c r="K5" s="19" t="b">
        <f t="shared" si="7"/>
        <v>0</v>
      </c>
      <c r="L5" s="19" t="b">
        <f t="shared" si="0"/>
        <v>1</v>
      </c>
      <c r="M5" s="19" t="b">
        <f t="shared" si="1"/>
        <v>1</v>
      </c>
      <c r="N5" s="19">
        <f t="shared" si="8"/>
        <v>1</v>
      </c>
      <c r="O5" s="19" t="b">
        <f t="shared" si="9"/>
        <v>1</v>
      </c>
      <c r="P5" s="19" t="b">
        <f t="shared" si="10"/>
        <v>1</v>
      </c>
      <c r="Q5" s="30" t="str">
        <f t="shared" si="11"/>
        <v>Goal Met</v>
      </c>
    </row>
    <row r="6" spans="2:17" ht="15" thickBot="1" x14ac:dyDescent="0.35">
      <c r="B6" s="5" t="s">
        <v>3</v>
      </c>
      <c r="C6" s="6">
        <v>6</v>
      </c>
      <c r="D6" s="6">
        <v>130000</v>
      </c>
      <c r="E6" s="7">
        <v>8000</v>
      </c>
      <c r="F6" s="23">
        <f t="shared" si="2"/>
        <v>6</v>
      </c>
      <c r="G6" s="19">
        <f t="shared" si="3"/>
        <v>138000</v>
      </c>
      <c r="H6" s="20">
        <f t="shared" si="4"/>
        <v>6.1538461538461542E-2</v>
      </c>
      <c r="I6" s="21">
        <f t="shared" si="5"/>
        <v>138000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0" t="str">
        <f t="shared" si="11"/>
        <v>Goal Met</v>
      </c>
    </row>
    <row r="7" spans="2:17" ht="15" thickBot="1" x14ac:dyDescent="0.35">
      <c r="B7" s="5" t="s">
        <v>4</v>
      </c>
      <c r="C7" s="6">
        <v>9</v>
      </c>
      <c r="D7" s="6">
        <v>115000</v>
      </c>
      <c r="E7" s="7">
        <v>10000</v>
      </c>
      <c r="F7" s="23">
        <f t="shared" si="2"/>
        <v>9</v>
      </c>
      <c r="G7" s="19">
        <f t="shared" si="3"/>
        <v>125000</v>
      </c>
      <c r="H7" s="20">
        <f t="shared" si="4"/>
        <v>8.6956521739130432E-2</v>
      </c>
      <c r="I7" s="21">
        <f t="shared" si="5"/>
        <v>125000</v>
      </c>
      <c r="J7" s="19" t="b">
        <f t="shared" si="6"/>
        <v>1</v>
      </c>
      <c r="K7" s="19" t="b">
        <f t="shared" si="7"/>
        <v>0</v>
      </c>
      <c r="L7" s="19" t="b">
        <f t="shared" si="0"/>
        <v>1</v>
      </c>
      <c r="M7" s="19" t="b">
        <f t="shared" si="1"/>
        <v>1</v>
      </c>
      <c r="N7" s="19">
        <f t="shared" si="8"/>
        <v>1</v>
      </c>
      <c r="O7" s="19" t="b">
        <f t="shared" si="9"/>
        <v>1</v>
      </c>
      <c r="P7" s="19" t="b">
        <f t="shared" si="10"/>
        <v>1</v>
      </c>
      <c r="Q7" s="30" t="str">
        <f t="shared" si="11"/>
        <v>Goal Met</v>
      </c>
    </row>
    <row r="8" spans="2:17" ht="15" thickBot="1" x14ac:dyDescent="0.35">
      <c r="B8" s="5" t="s">
        <v>5</v>
      </c>
      <c r="C8" s="6">
        <v>11</v>
      </c>
      <c r="D8" s="6">
        <v>70000</v>
      </c>
      <c r="E8" s="7">
        <v>9000</v>
      </c>
      <c r="F8" s="23">
        <f t="shared" si="2"/>
        <v>11</v>
      </c>
      <c r="G8" s="19">
        <f t="shared" si="3"/>
        <v>79000</v>
      </c>
      <c r="H8" s="20">
        <f t="shared" si="4"/>
        <v>0.12857142857142856</v>
      </c>
      <c r="I8" s="21">
        <f t="shared" si="5"/>
        <v>79000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0</v>
      </c>
      <c r="N8" s="19">
        <f t="shared" si="8"/>
        <v>0</v>
      </c>
      <c r="O8" s="19" t="b">
        <f t="shared" si="9"/>
        <v>0</v>
      </c>
      <c r="P8" s="19" t="b">
        <f t="shared" si="10"/>
        <v>0</v>
      </c>
      <c r="Q8" s="30" t="str">
        <f t="shared" si="11"/>
        <v>Not Met</v>
      </c>
    </row>
    <row r="9" spans="2:17" ht="15" thickBot="1" x14ac:dyDescent="0.35">
      <c r="B9" s="5" t="s">
        <v>6</v>
      </c>
      <c r="C9" s="6">
        <v>8</v>
      </c>
      <c r="D9" s="6">
        <v>130000</v>
      </c>
      <c r="E9" s="7">
        <v>10000</v>
      </c>
      <c r="F9" s="23">
        <f t="shared" si="2"/>
        <v>8</v>
      </c>
      <c r="G9" s="19">
        <f t="shared" si="3"/>
        <v>140000</v>
      </c>
      <c r="H9" s="20">
        <f t="shared" si="4"/>
        <v>7.6923076923076927E-2</v>
      </c>
      <c r="I9" s="21">
        <f t="shared" si="5"/>
        <v>140000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0" t="str">
        <f t="shared" si="11"/>
        <v>Goal Met</v>
      </c>
    </row>
    <row r="10" spans="2:17" ht="15" thickBot="1" x14ac:dyDescent="0.35">
      <c r="B10" s="5" t="s">
        <v>7</v>
      </c>
      <c r="C10" s="6">
        <v>4</v>
      </c>
      <c r="D10" s="6">
        <v>160000</v>
      </c>
      <c r="E10" s="7">
        <v>12000</v>
      </c>
      <c r="F10" s="23">
        <f t="shared" si="2"/>
        <v>4</v>
      </c>
      <c r="G10" s="19">
        <f t="shared" si="3"/>
        <v>172000</v>
      </c>
      <c r="H10" s="20">
        <f t="shared" si="4"/>
        <v>7.4999999999999997E-2</v>
      </c>
      <c r="I10" s="21">
        <f t="shared" si="5"/>
        <v>172000</v>
      </c>
      <c r="J10" s="19" t="b">
        <f t="shared" si="6"/>
        <v>1</v>
      </c>
      <c r="K10" s="19" t="b">
        <f t="shared" si="7"/>
        <v>0</v>
      </c>
      <c r="L10" s="19" t="b">
        <f t="shared" si="0"/>
        <v>0</v>
      </c>
      <c r="M10" s="19" t="b">
        <f t="shared" si="1"/>
        <v>1</v>
      </c>
      <c r="N10" s="19">
        <f t="shared" si="8"/>
        <v>0</v>
      </c>
      <c r="O10" s="19" t="b">
        <f t="shared" si="9"/>
        <v>0</v>
      </c>
      <c r="P10" s="19" t="b">
        <f t="shared" si="10"/>
        <v>0</v>
      </c>
      <c r="Q10" s="30" t="str">
        <f t="shared" si="11"/>
        <v>Not Met</v>
      </c>
    </row>
    <row r="11" spans="2:17" ht="15" thickBot="1" x14ac:dyDescent="0.35">
      <c r="B11" s="5" t="s">
        <v>8</v>
      </c>
      <c r="C11" s="6">
        <v>2</v>
      </c>
      <c r="D11" s="6">
        <v>170000</v>
      </c>
      <c r="E11" s="7">
        <v>10000</v>
      </c>
      <c r="F11" s="23">
        <f t="shared" si="2"/>
        <v>2</v>
      </c>
      <c r="G11" s="19">
        <f t="shared" si="3"/>
        <v>180000</v>
      </c>
      <c r="H11" s="20">
        <f t="shared" si="4"/>
        <v>5.8823529411764705E-2</v>
      </c>
      <c r="I11" s="21">
        <f t="shared" si="5"/>
        <v>180000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0" t="str">
        <f t="shared" si="11"/>
        <v>Not Met</v>
      </c>
    </row>
    <row r="12" spans="2:17" ht="15" thickBot="1" x14ac:dyDescent="0.35">
      <c r="B12" s="8" t="s">
        <v>9</v>
      </c>
      <c r="C12" s="9">
        <v>7</v>
      </c>
      <c r="D12" s="9">
        <v>135000</v>
      </c>
      <c r="E12" s="10">
        <v>6000</v>
      </c>
      <c r="F12" s="23">
        <f t="shared" si="2"/>
        <v>7</v>
      </c>
      <c r="G12" s="19">
        <f t="shared" si="3"/>
        <v>141000</v>
      </c>
      <c r="H12" s="20">
        <f t="shared" si="4"/>
        <v>4.4444444444444446E-2</v>
      </c>
      <c r="I12" s="21">
        <f t="shared" si="5"/>
        <v>141000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0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6</v>
      </c>
    </row>
    <row r="16" spans="2:17" ht="15" thickBot="1" x14ac:dyDescent="0.35">
      <c r="B16" s="15" t="s">
        <v>23</v>
      </c>
      <c r="C16" s="16">
        <v>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R2" sqref="R2"/>
    </sheetView>
  </sheetViews>
  <sheetFormatPr defaultRowHeight="14.4" x14ac:dyDescent="0.3"/>
  <cols>
    <col min="1" max="1" width="16.88671875" bestFit="1" customWidth="1"/>
    <col min="2" max="2" width="19.109375" customWidth="1"/>
    <col min="3" max="3" width="21.88671875" bestFit="1" customWidth="1"/>
    <col min="4" max="4" width="11.109375" bestFit="1" customWidth="1"/>
    <col min="5" max="5" width="38.109375" bestFit="1" customWidth="1"/>
    <col min="6" max="6" width="14.5546875" bestFit="1" customWidth="1"/>
    <col min="7" max="7" width="18.5546875" bestFit="1" customWidth="1"/>
    <col min="8" max="8" width="13.88671875" bestFit="1" customWidth="1"/>
    <col min="9" max="9" width="19" bestFit="1" customWidth="1"/>
    <col min="10" max="10" width="68.109375" bestFit="1" customWidth="1"/>
    <col min="11" max="11" width="11" bestFit="1" customWidth="1"/>
    <col min="12" max="12" width="14.21875" bestFit="1" customWidth="1"/>
    <col min="13" max="13" width="11.109375" bestFit="1" customWidth="1"/>
    <col min="14" max="14" width="6.5546875" bestFit="1" customWidth="1"/>
    <col min="15" max="15" width="6" bestFit="1" customWidth="1"/>
    <col min="16" max="16" width="11.109375" bestFit="1" customWidth="1"/>
    <col min="17" max="17" width="10.109375" customWidth="1"/>
    <col min="18" max="18" width="10.5546875" customWidth="1"/>
  </cols>
  <sheetData>
    <row r="1" spans="1:18" x14ac:dyDescent="0.3">
      <c r="A1" s="31" t="s">
        <v>46</v>
      </c>
      <c r="B1" s="31" t="s">
        <v>47</v>
      </c>
      <c r="C1" s="31" t="s">
        <v>48</v>
      </c>
      <c r="D1" s="31" t="s">
        <v>49</v>
      </c>
      <c r="E1" s="31" t="s">
        <v>50</v>
      </c>
      <c r="F1" s="31" t="s">
        <v>51</v>
      </c>
      <c r="G1" s="31" t="s">
        <v>52</v>
      </c>
      <c r="H1" s="31" t="s">
        <v>53</v>
      </c>
      <c r="I1" s="31" t="s">
        <v>54</v>
      </c>
      <c r="J1" s="31" t="s">
        <v>55</v>
      </c>
      <c r="K1" s="32" t="s">
        <v>2</v>
      </c>
      <c r="L1" s="32" t="s">
        <v>123</v>
      </c>
      <c r="M1" s="32" t="s">
        <v>136</v>
      </c>
      <c r="N1" s="32" t="s">
        <v>141</v>
      </c>
      <c r="O1" s="32" t="s">
        <v>142</v>
      </c>
      <c r="P1" s="32" t="s">
        <v>136</v>
      </c>
      <c r="Q1" s="32">
        <v>90000</v>
      </c>
      <c r="R1" s="32" t="s">
        <v>143</v>
      </c>
    </row>
    <row r="2" spans="1:18" x14ac:dyDescent="0.3">
      <c r="A2" s="27" t="s">
        <v>56</v>
      </c>
      <c r="B2" s="43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Desired","NOT Desired")</f>
        <v>NOT Desired</v>
      </c>
      <c r="Q2" t="str">
        <f>IF($H2&gt;$Q$1,"Salary &gt;90K","Salary Low")</f>
        <v>Salary &gt;90K</v>
      </c>
      <c r="R2" t="str" cm="1">
        <f t="array" ref="R2">_xlfn.IFS($H2="","No Data",$H2&gt;=$Q$1,"Salary&gt;90K",TRUE,"Salary Low")</f>
        <v>Salary&gt;90K</v>
      </c>
    </row>
    <row r="3" spans="1:18" x14ac:dyDescent="0.3">
      <c r="A3" s="27" t="s">
        <v>2</v>
      </c>
      <c r="B3" s="43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IF(A3=K$1,"Role Desired","NOT Desired")</f>
        <v>Role Desired</v>
      </c>
      <c r="L3" t="str">
        <f t="shared" ref="L3:L21" si="1">IF($A3=L$1,"Role Desired","NOT Desired")</f>
        <v>NOT Desired</v>
      </c>
      <c r="M3" t="str">
        <f t="shared" ref="M3:M21" si="2">IF($A3=K$1,"Role Desired",IF($A3=L$1,"Role Desired","NOT Desired"))</f>
        <v>Role Desired</v>
      </c>
      <c r="N3" t="b">
        <f t="shared" ref="N3:N21" si="3">AND($A3=$K$1,$A3=$L$1)</f>
        <v>0</v>
      </c>
      <c r="O3" t="b">
        <f t="shared" ref="O3:O21" si="4">OR($A3=$K$1,$A3=$L$1)</f>
        <v>1</v>
      </c>
      <c r="P3" t="str">
        <f t="shared" ref="P3:P21" si="5">IF(OR($A3=$K$1,$A3=$L$1),"Role Desired","NOT Desired")</f>
        <v>Role Desired</v>
      </c>
      <c r="Q3" t="str">
        <f t="shared" ref="Q3:Q21" si="6">IF($H3&gt;$Q$1,"Salary &gt;90K","Salary Low")</f>
        <v>Salary Low</v>
      </c>
      <c r="R3" t="str" cm="1">
        <f t="array" ref="R3">_xlfn.IFS($H3=" ","No Data",$H3&gt;=$Q$1,"Salary&gt;90K",TRUE,"Salary Low")</f>
        <v>Salary Low</v>
      </c>
    </row>
    <row r="4" spans="1:18" x14ac:dyDescent="0.3">
      <c r="A4" s="27" t="s">
        <v>2</v>
      </c>
      <c r="B4" s="43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_xlfn.IFS($H4=" ","No Data",$H4&gt;=$Q$1,"Salary&gt;90K",TRUE,"Salary Low")</f>
        <v>Salary Low</v>
      </c>
    </row>
    <row r="5" spans="1:18" x14ac:dyDescent="0.3">
      <c r="A5" s="27" t="s">
        <v>0</v>
      </c>
      <c r="B5" s="43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_xlfn.IFS($H5=" ","No Data",$H5&gt;=$Q$1,"Salary&gt;90K",TRUE,"Salary Low")</f>
        <v>Salary Low</v>
      </c>
    </row>
    <row r="6" spans="1:18" x14ac:dyDescent="0.3">
      <c r="A6" s="27" t="s">
        <v>76</v>
      </c>
      <c r="B6" s="43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_xlfn.IFS($H6=" ","No Data",$H6&gt;=$Q$1,"Salary&gt;90K",TRUE,"Salary Low")</f>
        <v>Salary Low</v>
      </c>
    </row>
    <row r="7" spans="1:18" x14ac:dyDescent="0.3">
      <c r="A7" s="27" t="s">
        <v>0</v>
      </c>
      <c r="B7" s="43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_xlfn.IFS($H7=" ","No Data",$H7&gt;=$Q$1,"Salary&gt;90K",TRUE,"Salary Low")</f>
        <v>Salary Low</v>
      </c>
    </row>
    <row r="8" spans="1:18" x14ac:dyDescent="0.3">
      <c r="A8" s="27" t="s">
        <v>2</v>
      </c>
      <c r="B8" s="43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_xlfn.IFS($H8=" ","No Data",$H8&gt;=$Q$1,"Salary&gt;90K",TRUE,"Salary Low")</f>
        <v>Salary Low</v>
      </c>
    </row>
    <row r="9" spans="1:18" x14ac:dyDescent="0.3">
      <c r="A9" s="27" t="s">
        <v>2</v>
      </c>
      <c r="B9" s="43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&gt;90K</v>
      </c>
      <c r="R9" t="str" cm="1">
        <f t="array" ref="R9">_xlfn.IFS($H9=" ","No Data",$H9&gt;=$Q$1,"Salary&gt;90K",TRUE,"Salary Low")</f>
        <v>Salary&gt;90K</v>
      </c>
    </row>
    <row r="10" spans="1:18" x14ac:dyDescent="0.3">
      <c r="A10" s="27" t="s">
        <v>2</v>
      </c>
      <c r="B10" s="43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_xlfn.IFS($H10=" ","No Data",$H10&gt;=$Q$1,"Salary&gt;90K",TRUE,"Salary Low")</f>
        <v>Salary Low</v>
      </c>
    </row>
    <row r="11" spans="1:18" x14ac:dyDescent="0.3">
      <c r="A11" s="27" t="s">
        <v>2</v>
      </c>
      <c r="B11" s="43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&gt;90K</v>
      </c>
      <c r="R11" t="str" cm="1">
        <f t="array" ref="R11">_xlfn.IFS($H11=" ","No Data",$H11&gt;=$Q$1,"Salary&gt;90K",TRUE,"Salary Low")</f>
        <v>Salary&gt;90K</v>
      </c>
    </row>
    <row r="12" spans="1:18" x14ac:dyDescent="0.3">
      <c r="A12" s="27" t="s">
        <v>0</v>
      </c>
      <c r="B12" s="43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&gt;90K</v>
      </c>
      <c r="R12" t="str" cm="1">
        <f t="array" ref="R12">_xlfn.IFS($H12=" ","No Data",$H12&gt;=$Q$1,"Salary&gt;90K",TRUE,"Salary Low")</f>
        <v>Salary&gt;90K</v>
      </c>
    </row>
    <row r="13" spans="1:18" x14ac:dyDescent="0.3">
      <c r="A13" s="27" t="s">
        <v>102</v>
      </c>
      <c r="B13" s="43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&gt;90K</v>
      </c>
      <c r="R13" t="str" cm="1">
        <f t="array" ref="R13">_xlfn.IFS($H13=" ","No Data",$H13&gt;=$Q$1,"Salary&gt;90K",TRUE,"Salary Low")</f>
        <v>Salary&gt;90K</v>
      </c>
    </row>
    <row r="14" spans="1:18" x14ac:dyDescent="0.3">
      <c r="A14" s="27" t="s">
        <v>0</v>
      </c>
      <c r="B14" s="43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&gt;90K</v>
      </c>
      <c r="R14" t="str" cm="1">
        <f t="array" ref="R14">_xlfn.IFS($H14=" ","No Data",$H14&gt;=$Q$1,"Salary&gt;90K",TRUE,"Salary Low")</f>
        <v>Salary&gt;90K</v>
      </c>
    </row>
    <row r="15" spans="1:18" x14ac:dyDescent="0.3">
      <c r="A15" s="27" t="s">
        <v>0</v>
      </c>
      <c r="B15" s="43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_xlfn.IFS($H15=" ","No Data",$H15&gt;=$Q$1,"Salary&gt;90K",TRUE,"Salary Low")</f>
        <v>Salary Low</v>
      </c>
    </row>
    <row r="16" spans="1:18" x14ac:dyDescent="0.3">
      <c r="A16" s="27" t="s">
        <v>4</v>
      </c>
      <c r="B16" s="43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&gt;90K</v>
      </c>
      <c r="R16" t="str" cm="1">
        <f t="array" ref="R16">_xlfn.IFS($H16=" ","No Data",$H16&gt;=$Q$1,"Salary&gt;90K",TRUE,"Salary Low")</f>
        <v>Salary&gt;90K</v>
      </c>
    </row>
    <row r="17" spans="1:18" x14ac:dyDescent="0.3">
      <c r="A17" s="27" t="s">
        <v>4</v>
      </c>
      <c r="B17" s="43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Low</v>
      </c>
      <c r="R17" t="str" cm="1">
        <f t="array" ref="R17">_xlfn.IFS($H17=" ","No Data",$H17&gt;=$Q$1,"Salary&gt;90K",TRUE,"Salary Low")</f>
        <v>Salary Low</v>
      </c>
    </row>
    <row r="18" spans="1:18" x14ac:dyDescent="0.3">
      <c r="A18" s="27" t="s">
        <v>123</v>
      </c>
      <c r="B18" s="43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_xlfn.IFS($H18=" ","No Data",$H18&gt;=$Q$1,"Salary&gt;90K",TRUE,"Salary Low")</f>
        <v>Salary Low</v>
      </c>
    </row>
    <row r="19" spans="1:18" x14ac:dyDescent="0.3">
      <c r="A19" s="27" t="s">
        <v>0</v>
      </c>
      <c r="B19" s="43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Low</v>
      </c>
      <c r="R19" t="str" cm="1">
        <f t="array" ref="R19">_xlfn.IFS($H19=" ","No Data",$H19&gt;=$Q$1,"Salary&gt;90K",TRUE,"Salary Low")</f>
        <v>Salary Low</v>
      </c>
    </row>
    <row r="20" spans="1:18" x14ac:dyDescent="0.3">
      <c r="A20" s="27" t="s">
        <v>0</v>
      </c>
      <c r="B20" s="43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_xlfn.IFS($H20=" ","No Data",$H20&gt;=$Q$1,"Salary&gt;90K",TRUE,"Salary Low")</f>
        <v>Salary Low</v>
      </c>
    </row>
    <row r="21" spans="1:18" x14ac:dyDescent="0.3">
      <c r="A21" s="27" t="s">
        <v>123</v>
      </c>
      <c r="B21" s="43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Low</v>
      </c>
      <c r="R21" t="str" cm="1">
        <f t="array" ref="R21">_xlfn.IFS($H21=" ","No Data",$H21&gt;=$Q$1,"Salary&gt;90K",TRUE,"Salary Low")</f>
        <v>Salary&gt;90K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1" t="s">
        <v>139</v>
      </c>
      <c r="F2" s="41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3" t="s">
        <v>137</v>
      </c>
      <c r="C2" s="34" t="s">
        <v>138</v>
      </c>
      <c r="D2" s="42" t="s">
        <v>141</v>
      </c>
      <c r="E2" s="42" t="s">
        <v>142</v>
      </c>
    </row>
    <row r="3" spans="2:5" x14ac:dyDescent="0.3">
      <c r="B3" s="35" t="b">
        <v>1</v>
      </c>
      <c r="C3" s="36" t="b">
        <v>1</v>
      </c>
      <c r="D3" s="39" t="b">
        <f>AND(B3,C3)</f>
        <v>1</v>
      </c>
      <c r="E3" s="39" t="b">
        <f>OR(B3,C3)</f>
        <v>1</v>
      </c>
    </row>
    <row r="4" spans="2:5" x14ac:dyDescent="0.3">
      <c r="B4" s="35" t="b">
        <v>1</v>
      </c>
      <c r="C4" s="36" t="b">
        <v>0</v>
      </c>
      <c r="D4" s="39" t="b">
        <f t="shared" ref="D4:D6" si="0">AND(B4,C4)</f>
        <v>0</v>
      </c>
      <c r="E4" s="39" t="b">
        <f t="shared" ref="E4:E6" si="1">OR(B4,C4)</f>
        <v>1</v>
      </c>
    </row>
    <row r="5" spans="2:5" x14ac:dyDescent="0.3">
      <c r="B5" s="35" t="b">
        <v>0</v>
      </c>
      <c r="C5" s="36" t="b">
        <v>1</v>
      </c>
      <c r="D5" s="39" t="b">
        <f t="shared" si="0"/>
        <v>0</v>
      </c>
      <c r="E5" s="39" t="b">
        <f t="shared" si="1"/>
        <v>1</v>
      </c>
    </row>
    <row r="6" spans="2:5" ht="15" thickBot="1" x14ac:dyDescent="0.35">
      <c r="B6" s="37" t="b">
        <v>0</v>
      </c>
      <c r="C6" s="38" t="b">
        <v>0</v>
      </c>
      <c r="D6" s="40" t="b">
        <f t="shared" si="0"/>
        <v>0</v>
      </c>
      <c r="E6" s="40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Data_1</vt:lpstr>
      <vt:lpstr>Data_2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Sai Sarayu Vintha</cp:lastModifiedBy>
  <dcterms:created xsi:type="dcterms:W3CDTF">2024-07-16T20:11:02Z</dcterms:created>
  <dcterms:modified xsi:type="dcterms:W3CDTF">2026-01-26T22:06:39Z</dcterms:modified>
</cp:coreProperties>
</file>