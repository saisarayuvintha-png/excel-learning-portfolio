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22666f58fa8692/Desktop/Excel/"/>
    </mc:Choice>
  </mc:AlternateContent>
  <xr:revisionPtr revIDLastSave="0" documentId="8_{A7CD61C3-79DA-48CF-AA66-4F629D091ED2}" xr6:coauthVersionLast="47" xr6:coauthVersionMax="47" xr10:uidLastSave="{00000000-0000-0000-0000-000000000000}"/>
  <bookViews>
    <workbookView xWindow="-108" yWindow="-108" windowWidth="23256" windowHeight="13896" xr2:uid="{8CC555B5-3E06-43B6-9E5B-C0A1D3498D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3" i="1"/>
  <c r="M4" i="1"/>
  <c r="M5" i="1"/>
  <c r="M6" i="1"/>
  <c r="M7" i="1"/>
  <c r="M8" i="1"/>
  <c r="M9" i="1"/>
  <c r="M10" i="1"/>
  <c r="M11" i="1"/>
  <c r="M12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12" i="1"/>
  <c r="F4" i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<sst xmlns="http://schemas.openxmlformats.org/spreadsheetml/2006/main" count="27" uniqueCount="27">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</sst>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164" fontId="2" fillId="0" borderId="0" xfId="1" applyNumberFormat="1" applyFont="1"/>
    <xf numFmtId="164" fontId="3" fillId="0" borderId="0" xfId="1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F16" sqref="F16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" style="1" customWidth="1"/>
    <col min="7" max="7" width="9" style="1"/>
    <col min="8" max="8" width="9" style="17"/>
    <col min="9" max="13" width="9" style="1"/>
    <col min="14" max="14" width="11.21875" style="1" customWidth="1"/>
    <col min="15" max="16384" width="9" style="1"/>
  </cols>
  <sheetData>
    <row r="1" spans="2:15" ht="15" thickBot="1" x14ac:dyDescent="0.35"/>
    <row r="2" spans="2:15" ht="27.75" customHeigh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11" t="s">
        <v>15</v>
      </c>
      <c r="G2" s="11" t="s">
        <v>14</v>
      </c>
      <c r="H2" s="18" t="s">
        <v>16</v>
      </c>
      <c r="I2" s="11" t="s">
        <v>17</v>
      </c>
      <c r="J2" s="11" t="s">
        <v>19</v>
      </c>
      <c r="K2" s="11" t="s">
        <v>18</v>
      </c>
      <c r="L2" s="11" t="s">
        <v>21</v>
      </c>
      <c r="M2" s="11" t="s">
        <v>20</v>
      </c>
      <c r="N2" s="11" t="s">
        <v>26</v>
      </c>
      <c r="O2" s="11" t="s">
        <v>24</v>
      </c>
    </row>
    <row r="3" spans="2:15" x14ac:dyDescent="0.3">
      <c r="B3" s="5" t="s">
        <v>0</v>
      </c>
      <c r="C3" s="6">
        <v>3</v>
      </c>
      <c r="D3" s="6">
        <v>130000</v>
      </c>
      <c r="E3" s="7">
        <v>10000</v>
      </c>
      <c r="F3" s="1">
        <f>C3</f>
        <v>3</v>
      </c>
      <c r="G3" s="1">
        <f>D3+E3</f>
        <v>140000</v>
      </c>
      <c r="H3" s="17">
        <f>E3/D3</f>
        <v>7.6923076923076927E-2</v>
      </c>
      <c r="I3" s="1">
        <f>H3*D3+D3</f>
        <v>140000</v>
      </c>
      <c r="J3" s="1" t="b">
        <f>I3=G3</f>
        <v>1</v>
      </c>
      <c r="K3" s="1" t="b">
        <f>E3&gt;D3</f>
        <v>0</v>
      </c>
      <c r="L3" s="1" t="b">
        <f>$C$15&lt;=C3</f>
        <v>0</v>
      </c>
      <c r="M3" s="1" t="b">
        <f>G3&gt;=$C$16</f>
        <v>1</v>
      </c>
      <c r="N3" s="1">
        <f>M3*L3</f>
        <v>0</v>
      </c>
      <c r="O3" s="1" t="b">
        <f>N3=1</f>
        <v>0</v>
      </c>
    </row>
    <row r="4" spans="2:15" x14ac:dyDescent="0.3">
      <c r="B4" s="5" t="s">
        <v>1</v>
      </c>
      <c r="C4" s="6">
        <v>2</v>
      </c>
      <c r="D4" s="6">
        <v>125000</v>
      </c>
      <c r="E4" s="7">
        <v>10000</v>
      </c>
      <c r="F4" s="1">
        <f t="shared" ref="F4:F11" si="0">C4</f>
        <v>2</v>
      </c>
      <c r="G4" s="1">
        <f t="shared" ref="G4:G12" si="1">D4+E4</f>
        <v>135000</v>
      </c>
      <c r="H4" s="17">
        <f t="shared" ref="H4:H12" si="2">E4/D4</f>
        <v>0.08</v>
      </c>
      <c r="I4" s="1">
        <f t="shared" ref="I4:I12" si="3">H4*D4+D4</f>
        <v>135000</v>
      </c>
      <c r="J4" s="1" t="b">
        <f t="shared" ref="J4:J12" si="4">I4=G4</f>
        <v>1</v>
      </c>
      <c r="K4" s="1" t="b">
        <f t="shared" ref="K4:K12" si="5">E4&gt;D4</f>
        <v>0</v>
      </c>
      <c r="L4" s="1" t="b">
        <f t="shared" ref="L4:L12" si="6">$C$15&lt;=C4</f>
        <v>0</v>
      </c>
      <c r="M4" s="1" t="b">
        <f t="shared" ref="M4:M12" si="7">G4&gt;=$C$16</f>
        <v>1</v>
      </c>
      <c r="N4" s="1">
        <f t="shared" ref="N4:N12" si="8">M4*L4</f>
        <v>0</v>
      </c>
      <c r="O4" s="1" t="b">
        <f t="shared" ref="O4:O12" si="9">N4=1</f>
        <v>0</v>
      </c>
    </row>
    <row r="5" spans="2:15" x14ac:dyDescent="0.3">
      <c r="B5" s="5" t="s">
        <v>2</v>
      </c>
      <c r="C5" s="6">
        <v>8</v>
      </c>
      <c r="D5" s="6">
        <v>95000</v>
      </c>
      <c r="E5" s="7">
        <v>8000</v>
      </c>
      <c r="F5" s="1">
        <f t="shared" si="0"/>
        <v>8</v>
      </c>
      <c r="G5" s="1">
        <f t="shared" si="1"/>
        <v>103000</v>
      </c>
      <c r="H5" s="17">
        <f t="shared" si="2"/>
        <v>8.4210526315789472E-2</v>
      </c>
      <c r="I5" s="1">
        <f t="shared" si="3"/>
        <v>103000</v>
      </c>
      <c r="J5" s="1" t="b">
        <f t="shared" si="4"/>
        <v>1</v>
      </c>
      <c r="K5" s="1" t="b">
        <f t="shared" si="5"/>
        <v>0</v>
      </c>
      <c r="L5" s="1" t="b">
        <f t="shared" si="6"/>
        <v>1</v>
      </c>
      <c r="M5" s="1" t="b">
        <f t="shared" si="7"/>
        <v>1</v>
      </c>
      <c r="N5" s="1">
        <f t="shared" si="8"/>
        <v>1</v>
      </c>
      <c r="O5" s="1" t="b">
        <f t="shared" si="9"/>
        <v>1</v>
      </c>
    </row>
    <row r="6" spans="2:15" x14ac:dyDescent="0.3">
      <c r="B6" s="5" t="s">
        <v>3</v>
      </c>
      <c r="C6" s="6">
        <v>6</v>
      </c>
      <c r="D6" s="6">
        <v>130000</v>
      </c>
      <c r="E6" s="7">
        <v>8000</v>
      </c>
      <c r="F6" s="1">
        <f t="shared" si="0"/>
        <v>6</v>
      </c>
      <c r="G6" s="1">
        <f t="shared" si="1"/>
        <v>138000</v>
      </c>
      <c r="H6" s="17">
        <f t="shared" si="2"/>
        <v>6.1538461538461542E-2</v>
      </c>
      <c r="I6" s="1">
        <f t="shared" si="3"/>
        <v>138000</v>
      </c>
      <c r="J6" s="1" t="b">
        <f t="shared" si="4"/>
        <v>1</v>
      </c>
      <c r="K6" s="1" t="b">
        <f t="shared" si="5"/>
        <v>0</v>
      </c>
      <c r="L6" s="1" t="b">
        <f t="shared" si="6"/>
        <v>1</v>
      </c>
      <c r="M6" s="1" t="b">
        <f t="shared" si="7"/>
        <v>1</v>
      </c>
      <c r="N6" s="1">
        <f t="shared" si="8"/>
        <v>1</v>
      </c>
      <c r="O6" s="1" t="b">
        <f t="shared" si="9"/>
        <v>1</v>
      </c>
    </row>
    <row r="7" spans="2:15" x14ac:dyDescent="0.3">
      <c r="B7" s="5" t="s">
        <v>4</v>
      </c>
      <c r="C7" s="6">
        <v>9</v>
      </c>
      <c r="D7" s="6">
        <v>115000</v>
      </c>
      <c r="E7" s="7">
        <v>10000</v>
      </c>
      <c r="F7" s="1">
        <f t="shared" si="0"/>
        <v>9</v>
      </c>
      <c r="G7" s="1">
        <f t="shared" si="1"/>
        <v>125000</v>
      </c>
      <c r="H7" s="17">
        <f t="shared" si="2"/>
        <v>8.6956521739130432E-2</v>
      </c>
      <c r="I7" s="1">
        <f t="shared" si="3"/>
        <v>125000</v>
      </c>
      <c r="J7" s="1" t="b">
        <f t="shared" si="4"/>
        <v>1</v>
      </c>
      <c r="K7" s="1" t="b">
        <f t="shared" si="5"/>
        <v>0</v>
      </c>
      <c r="L7" s="1" t="b">
        <f t="shared" si="6"/>
        <v>1</v>
      </c>
      <c r="M7" s="1" t="b">
        <f t="shared" si="7"/>
        <v>1</v>
      </c>
      <c r="N7" s="1">
        <f t="shared" si="8"/>
        <v>1</v>
      </c>
      <c r="O7" s="1" t="b">
        <f t="shared" si="9"/>
        <v>1</v>
      </c>
    </row>
    <row r="8" spans="2:15" x14ac:dyDescent="0.3">
      <c r="B8" s="5" t="s">
        <v>5</v>
      </c>
      <c r="C8" s="6">
        <v>11</v>
      </c>
      <c r="D8" s="6">
        <v>70000</v>
      </c>
      <c r="E8" s="7">
        <v>9000</v>
      </c>
      <c r="F8" s="1">
        <f t="shared" si="0"/>
        <v>11</v>
      </c>
      <c r="G8" s="1">
        <f t="shared" si="1"/>
        <v>79000</v>
      </c>
      <c r="H8" s="17">
        <f t="shared" si="2"/>
        <v>0.12857142857142856</v>
      </c>
      <c r="I8" s="1">
        <f t="shared" si="3"/>
        <v>79000</v>
      </c>
      <c r="J8" s="1" t="b">
        <f t="shared" si="4"/>
        <v>1</v>
      </c>
      <c r="K8" s="1" t="b">
        <f t="shared" si="5"/>
        <v>0</v>
      </c>
      <c r="L8" s="1" t="b">
        <f t="shared" si="6"/>
        <v>1</v>
      </c>
      <c r="M8" s="1" t="b">
        <f t="shared" si="7"/>
        <v>0</v>
      </c>
      <c r="N8" s="1">
        <f t="shared" si="8"/>
        <v>0</v>
      </c>
      <c r="O8" s="1" t="b">
        <f t="shared" si="9"/>
        <v>0</v>
      </c>
    </row>
    <row r="9" spans="2:15" x14ac:dyDescent="0.3">
      <c r="B9" s="5" t="s">
        <v>6</v>
      </c>
      <c r="C9" s="6">
        <v>8</v>
      </c>
      <c r="D9" s="6">
        <v>130000</v>
      </c>
      <c r="E9" s="7">
        <v>10000</v>
      </c>
      <c r="F9" s="1">
        <f t="shared" si="0"/>
        <v>8</v>
      </c>
      <c r="G9" s="1">
        <f t="shared" si="1"/>
        <v>140000</v>
      </c>
      <c r="H9" s="17">
        <f t="shared" si="2"/>
        <v>7.6923076923076927E-2</v>
      </c>
      <c r="I9" s="1">
        <f t="shared" si="3"/>
        <v>140000</v>
      </c>
      <c r="J9" s="1" t="b">
        <f t="shared" si="4"/>
        <v>1</v>
      </c>
      <c r="K9" s="1" t="b">
        <f t="shared" si="5"/>
        <v>0</v>
      </c>
      <c r="L9" s="1" t="b">
        <f t="shared" si="6"/>
        <v>1</v>
      </c>
      <c r="M9" s="1" t="b">
        <f t="shared" si="7"/>
        <v>1</v>
      </c>
      <c r="N9" s="1">
        <f t="shared" si="8"/>
        <v>1</v>
      </c>
      <c r="O9" s="1" t="b">
        <f t="shared" si="9"/>
        <v>1</v>
      </c>
    </row>
    <row r="10" spans="2:15" x14ac:dyDescent="0.3">
      <c r="B10" s="5" t="s">
        <v>7</v>
      </c>
      <c r="C10" s="6">
        <v>4</v>
      </c>
      <c r="D10" s="6">
        <v>160000</v>
      </c>
      <c r="E10" s="7">
        <v>12000</v>
      </c>
      <c r="F10" s="1">
        <f t="shared" si="0"/>
        <v>4</v>
      </c>
      <c r="G10" s="1">
        <f t="shared" si="1"/>
        <v>172000</v>
      </c>
      <c r="H10" s="17">
        <f t="shared" si="2"/>
        <v>7.4999999999999997E-2</v>
      </c>
      <c r="I10" s="1">
        <f t="shared" si="3"/>
        <v>172000</v>
      </c>
      <c r="J10" s="1" t="b">
        <f t="shared" si="4"/>
        <v>1</v>
      </c>
      <c r="K10" s="1" t="b">
        <f t="shared" si="5"/>
        <v>0</v>
      </c>
      <c r="L10" s="1" t="b">
        <f t="shared" si="6"/>
        <v>0</v>
      </c>
      <c r="M10" s="1" t="b">
        <f t="shared" si="7"/>
        <v>1</v>
      </c>
      <c r="N10" s="1">
        <f t="shared" si="8"/>
        <v>0</v>
      </c>
      <c r="O10" s="1" t="b">
        <f t="shared" si="9"/>
        <v>0</v>
      </c>
    </row>
    <row r="11" spans="2:15" x14ac:dyDescent="0.3">
      <c r="B11" s="5" t="s">
        <v>8</v>
      </c>
      <c r="C11" s="6">
        <v>2</v>
      </c>
      <c r="D11" s="6">
        <v>170000</v>
      </c>
      <c r="E11" s="7">
        <v>10000</v>
      </c>
      <c r="F11" s="1">
        <f t="shared" si="0"/>
        <v>2</v>
      </c>
      <c r="G11" s="1">
        <f t="shared" si="1"/>
        <v>180000</v>
      </c>
      <c r="H11" s="17">
        <f t="shared" si="2"/>
        <v>5.8823529411764705E-2</v>
      </c>
      <c r="I11" s="1">
        <f t="shared" si="3"/>
        <v>180000</v>
      </c>
      <c r="J11" s="1" t="b">
        <f t="shared" si="4"/>
        <v>1</v>
      </c>
      <c r="K11" s="1" t="b">
        <f t="shared" si="5"/>
        <v>0</v>
      </c>
      <c r="L11" s="1" t="b">
        <f t="shared" si="6"/>
        <v>0</v>
      </c>
      <c r="M11" s="1" t="b">
        <f t="shared" si="7"/>
        <v>1</v>
      </c>
      <c r="N11" s="1">
        <f t="shared" si="8"/>
        <v>0</v>
      </c>
      <c r="O11" s="1" t="b">
        <f t="shared" si="9"/>
        <v>0</v>
      </c>
    </row>
    <row r="12" spans="2:15" ht="15" thickBot="1" x14ac:dyDescent="0.35">
      <c r="B12" s="8" t="s">
        <v>9</v>
      </c>
      <c r="C12" s="9">
        <v>7</v>
      </c>
      <c r="D12" s="9">
        <v>135000</v>
      </c>
      <c r="E12" s="10">
        <v>6000</v>
      </c>
      <c r="F12" s="1">
        <f>C12</f>
        <v>7</v>
      </c>
      <c r="G12" s="1">
        <f t="shared" si="1"/>
        <v>141000</v>
      </c>
      <c r="H12" s="17">
        <f t="shared" si="2"/>
        <v>4.4444444444444446E-2</v>
      </c>
      <c r="I12" s="1">
        <f t="shared" si="3"/>
        <v>141000</v>
      </c>
      <c r="J12" s="1" t="b">
        <f t="shared" si="4"/>
        <v>1</v>
      </c>
      <c r="K12" s="1" t="b">
        <f t="shared" si="5"/>
        <v>0</v>
      </c>
      <c r="L12" s="1" t="b">
        <f t="shared" si="6"/>
        <v>1</v>
      </c>
      <c r="M12" s="1" t="b">
        <f t="shared" si="7"/>
        <v>1</v>
      </c>
      <c r="N12" s="1">
        <f t="shared" si="8"/>
        <v>1</v>
      </c>
      <c r="O12" s="1" t="b">
        <f t="shared" si="9"/>
        <v>1</v>
      </c>
    </row>
    <row r="14" spans="2:15" ht="15" thickBot="1" x14ac:dyDescent="0.35">
      <c r="B14" s="16" t="s">
        <v>25</v>
      </c>
    </row>
    <row r="15" spans="2:15" x14ac:dyDescent="0.3">
      <c r="B15" s="12" t="s">
        <v>22</v>
      </c>
      <c r="C15" s="13">
        <v>6</v>
      </c>
    </row>
    <row r="16" spans="2:15" ht="15" thickBot="1" x14ac:dyDescent="0.35">
      <c r="B16" s="14" t="s">
        <v>23</v>
      </c>
      <c r="C16" s="15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Sai Sarayu Vintha</cp:lastModifiedBy>
  <dcterms:created xsi:type="dcterms:W3CDTF">2024-07-16T20:11:02Z</dcterms:created>
  <dcterms:modified xsi:type="dcterms:W3CDTF">2026-01-26T17:49:58Z</dcterms:modified>
</cp:coreProperties>
</file>