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622666f58fa8692/Desktop/Excel/"/>
    </mc:Choice>
  </mc:AlternateContent>
  <xr:revisionPtr revIDLastSave="0" documentId="8_{EAF0F05D-0955-4C4F-AC8A-2E8B274C069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U3" i="8"/>
  <c r="V3" i="8"/>
  <c r="X3" i="8"/>
  <c r="T4" i="8"/>
  <c r="X4" i="8" s="1"/>
  <c r="U4" i="8"/>
  <c r="V4" i="8"/>
  <c r="T5" i="8"/>
  <c r="U5" i="8"/>
  <c r="V5" i="8"/>
  <c r="X5" i="8"/>
  <c r="T6" i="8"/>
  <c r="X6" i="8" s="1"/>
  <c r="U6" i="8"/>
  <c r="V6" i="8"/>
  <c r="T7" i="8"/>
  <c r="U7" i="8"/>
  <c r="V7" i="8"/>
  <c r="X7" i="8"/>
  <c r="T8" i="8"/>
  <c r="U8" i="8"/>
  <c r="V8" i="8"/>
  <c r="X8" i="8"/>
  <c r="T9" i="8"/>
  <c r="U9" i="8"/>
  <c r="V9" i="8"/>
  <c r="X9" i="8"/>
  <c r="T10" i="8"/>
  <c r="U10" i="8"/>
  <c r="V10" i="8"/>
  <c r="X10" i="8"/>
  <c r="T11" i="8"/>
  <c r="X11" i="8" s="1"/>
  <c r="U11" i="8"/>
  <c r="V11" i="8"/>
  <c r="T12" i="8"/>
  <c r="U12" i="8"/>
  <c r="V12" i="8"/>
  <c r="X12" i="8"/>
  <c r="T13" i="8"/>
  <c r="X13" i="8" s="1"/>
  <c r="U13" i="8"/>
  <c r="V13" i="8"/>
  <c r="T14" i="8"/>
  <c r="U14" i="8"/>
  <c r="V14" i="8"/>
  <c r="X14" i="8"/>
  <c r="T15" i="8"/>
  <c r="U15" i="8"/>
  <c r="V15" i="8"/>
  <c r="X15" i="8"/>
  <c r="T16" i="8"/>
  <c r="U16" i="8"/>
  <c r="V16" i="8"/>
  <c r="X16" i="8"/>
  <c r="T17" i="8"/>
  <c r="U17" i="8"/>
  <c r="V17" i="8"/>
  <c r="X17" i="8"/>
  <c r="T18" i="8"/>
  <c r="X18" i="8" s="1"/>
  <c r="U18" i="8"/>
  <c r="V18" i="8"/>
  <c r="T19" i="8"/>
  <c r="U19" i="8"/>
  <c r="V19" i="8"/>
  <c r="X19" i="8"/>
  <c r="T20" i="8"/>
  <c r="X20" i="8" s="1"/>
  <c r="U20" i="8"/>
  <c r="V20" i="8"/>
  <c r="T21" i="8"/>
  <c r="U21" i="8"/>
  <c r="V21" i="8"/>
  <c r="X21" i="8"/>
  <c r="T2" i="8"/>
  <c r="V2" i="8"/>
  <c r="U2" i="8"/>
  <c r="N15" i="8"/>
  <c r="P2" i="8"/>
  <c r="J3" i="8"/>
  <c r="K3" i="8"/>
  <c r="L3" i="8"/>
  <c r="J4" i="8"/>
  <c r="K4" i="8"/>
  <c r="L4" i="8"/>
  <c r="J5" i="8"/>
  <c r="K5" i="8"/>
  <c r="L5" i="8"/>
  <c r="J6" i="8"/>
  <c r="K6" i="8"/>
  <c r="L6" i="8"/>
  <c r="N6" i="8" s="1"/>
  <c r="J7" i="8"/>
  <c r="K7" i="8"/>
  <c r="L7" i="8"/>
  <c r="J8" i="8"/>
  <c r="K8" i="8"/>
  <c r="L8" i="8"/>
  <c r="J9" i="8"/>
  <c r="K9" i="8"/>
  <c r="L9" i="8"/>
  <c r="J10" i="8"/>
  <c r="N10" i="8" s="1"/>
  <c r="K10" i="8"/>
  <c r="L10" i="8"/>
  <c r="J11" i="8"/>
  <c r="K11" i="8"/>
  <c r="L11" i="8"/>
  <c r="N11" i="8" s="1"/>
  <c r="J12" i="8"/>
  <c r="K12" i="8"/>
  <c r="L12" i="8"/>
  <c r="N12" i="8" s="1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N17" i="8" s="1"/>
  <c r="J18" i="8"/>
  <c r="K18" i="8"/>
  <c r="L18" i="8"/>
  <c r="J19" i="8"/>
  <c r="K19" i="8"/>
  <c r="L19" i="8"/>
  <c r="J20" i="8"/>
  <c r="K20" i="8"/>
  <c r="L20" i="8"/>
  <c r="N20" i="8" s="1"/>
  <c r="J21" i="8"/>
  <c r="K21" i="8"/>
  <c r="L21" i="8"/>
  <c r="N21" i="8" s="1"/>
  <c r="L2" i="8"/>
  <c r="K2" i="8"/>
  <c r="J2" i="8"/>
  <c r="N9" i="8" l="1"/>
  <c r="N7" i="8"/>
  <c r="N3" i="8"/>
  <c r="X2" i="8"/>
  <c r="R12" i="8"/>
  <c r="R15" i="8"/>
  <c r="R3" i="8"/>
  <c r="R11" i="8"/>
  <c r="R10" i="8"/>
  <c r="R9" i="8"/>
  <c r="R21" i="8"/>
  <c r="R7" i="8"/>
  <c r="R20" i="8"/>
  <c r="R6" i="8"/>
  <c r="R17" i="8"/>
  <c r="N19" i="8"/>
  <c r="R19" i="8" s="1"/>
  <c r="N14" i="8"/>
  <c r="R14" i="8" s="1"/>
  <c r="N5" i="8"/>
  <c r="R5" i="8" s="1"/>
  <c r="N18" i="8"/>
  <c r="R18" i="8" s="1"/>
  <c r="N4" i="8"/>
  <c r="R4" i="8" s="1"/>
  <c r="N13" i="8"/>
  <c r="R13" i="8" s="1"/>
  <c r="N2" i="8"/>
  <c r="R2" i="8" s="1"/>
  <c r="N8" i="8"/>
  <c r="R8" i="8" s="1"/>
  <c r="N16" i="8"/>
  <c r="R16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<sst xmlns="http://schemas.openxmlformats.org/spreadsheetml/2006/main" count="162" uniqueCount="97">
  <si>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</si>
  <si>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</si>
  <si>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</si>
  <si>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</si>
  <si>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</si>
  <si>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</si>
  <si>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</si>
  <si>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</si>
  <si>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</si>
  <si>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</si>
  <si>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</si>
  <si>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</si>
  <si>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</si>
  <si>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</si>
  <si>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</si>
  <si>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</si>
  <si>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</si>
  <si>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</si>
  <si>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</si>
  <si>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</si>
  <si>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</si>
  <si>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</si>
  <si>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</si>
  <si>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</si>
  <si>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</si>
  <si>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</si>
  <si>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</si>
  <si>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</si>
  <si>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</si>
  <si>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</si>
  <si>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</si>
  <si>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</si>
  <si>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</si>
  <si>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</si>
  <si>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</si>
  <si>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</si>
  <si>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</si>
  <si>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</si>
  <si>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</si>
  <si>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</si>
  <si>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</si>
  <si>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</si>
  <si>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</si>
  <si>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</si>
  <si>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</si>
  <si>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</si>
  <si>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</si>
  <si>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</si>
  <si>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</si>
  <si>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</si>
  <si>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</si>
  <si>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</si>
  <si>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</si>
  <si>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</si>
  <si>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</si>
  <si>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</si>
  <si>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</si>
  <si>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</si>
  <si>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</si>
  <si>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</si>
  <si>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</si>
  <si>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</si>
  <si>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</si>
  <si>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</si>
  <si>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</si>
  <si>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</si>
  <si>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</si>
  <si>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</si>
  <si>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</si>
  <si>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</si>
  <si>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</si>
  <si>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</si>
  <si>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</si>
  <si>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</si>
  <si>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</si>
  <si>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</si>
  <si>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</si>
  <si>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</si>
  <si>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</si>
  <si>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</si>
  <si>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</si>
  <si>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</si>
  <si>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</si>
  <si>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</si>
  <si>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</si>
  <si>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</si>
  <si>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</si>
  <si>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</si>
  <si>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</si>
  <si>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</si>
  <si>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</si>
  <si>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</si>
  <si>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</si>
  <si>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</si>
  <si>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Application Time</t>
  </si>
  <si>
    <t>jjjjjjjjjjjjjjjjjjjjj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</si>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</sst>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Postings per Hour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1-4259-8E88-EC260B59A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889215"/>
        <c:axId val="1028890175"/>
      </c:scatterChart>
      <c:valAx>
        <c:axId val="102888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90175"/>
        <c:crosses val="autoZero"/>
        <c:crossBetween val="midCat"/>
      </c:valAx>
      <c:valAx>
        <c:axId val="102889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8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571500</xdr:colOff>
      <xdr:row>2</xdr:row>
      <xdr:rowOff>133350</xdr:rowOff>
    </xdr:from>
    <xdr:to>
      <xdr:col>36</xdr:col>
      <xdr:colOff>266700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CA85F-BEF6-AD4E-807F-F4EC278B1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L1" workbookViewId="0">
      <selection activeCell="AF23" sqref="AF23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customWidth="1"/>
    <col min="14" max="14" width="14.21875" customWidth="1"/>
    <col min="15" max="15" width="8.88671875" customWidth="1"/>
    <col min="16" max="16" width="9.5546875" bestFit="1" customWidth="1"/>
    <col min="17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6"/>
      <c r="J1" s="14" t="s">
        <v>84</v>
      </c>
      <c r="K1" s="14" t="s">
        <v>88</v>
      </c>
      <c r="L1" s="14" t="s">
        <v>85</v>
      </c>
      <c r="N1" s="14" t="s">
        <v>22</v>
      </c>
      <c r="P1" s="14" t="s">
        <v>87</v>
      </c>
      <c r="R1" s="14" t="s">
        <v>89</v>
      </c>
      <c r="T1" s="14" t="s">
        <v>90</v>
      </c>
      <c r="U1" s="14" t="s">
        <v>91</v>
      </c>
      <c r="V1" s="14" t="s">
        <v>92</v>
      </c>
      <c r="X1" s="14" t="s">
        <v>94</v>
      </c>
      <c r="Y1" s="14" t="s">
        <v>94</v>
      </c>
      <c r="Z1" s="14" t="s">
        <v>96</v>
      </c>
      <c r="AA1" s="14" t="s">
        <v>93</v>
      </c>
      <c r="AB1" s="15"/>
    </row>
    <row r="2" spans="1:28" x14ac:dyDescent="0.3">
      <c r="A2" s="5" t="s">
        <v>83</v>
      </c>
      <c r="B2" s="1" t="s">
        <v>41</v>
      </c>
      <c r="C2" s="1" t="s">
        <v>9</v>
      </c>
      <c r="D2" s="11">
        <v>45422.739884259259</v>
      </c>
      <c r="E2" s="1" t="s">
        <v>44</v>
      </c>
      <c r="F2" s="1" t="s">
        <v>24</v>
      </c>
      <c r="G2" s="1" t="s">
        <v>27</v>
      </c>
      <c r="H2" s="6" t="s">
        <v>14</v>
      </c>
      <c r="J2">
        <f>MONTH(D2)</f>
        <v>5</v>
      </c>
      <c r="K2">
        <f>DAY(D2)</f>
        <v>10</v>
      </c>
      <c r="L2">
        <f>YEAR(D2)</f>
        <v>2024</v>
      </c>
      <c r="N2" s="9">
        <f>DATE(L2,K2,J2)</f>
        <v>45570</v>
      </c>
      <c r="P2" s="9">
        <f ca="1">TODAY()</f>
        <v>46053</v>
      </c>
      <c r="R2">
        <f ca="1">DATEDIF(N2,$P$2,"D")</f>
        <v>483</v>
      </c>
      <c r="T2">
        <f>HOUR(D2)</f>
        <v>17</v>
      </c>
      <c r="U2">
        <f>MINUTE(D2)</f>
        <v>45</v>
      </c>
      <c r="V2">
        <f>SECOND(D2)</f>
        <v>26</v>
      </c>
      <c r="X2" s="13">
        <f>TIME(T2,U2,V2)</f>
        <v>0.73988425925925927</v>
      </c>
      <c r="Y2" t="str">
        <f>TEXT(D2, "HH:MM AM/PM")</f>
        <v>05:45 PM</v>
      </c>
      <c r="Z2" cm="1">
        <f t="array" ref="Z2:Z21">HOUR(D2:D21)</f>
        <v>17</v>
      </c>
      <c r="AA2" cm="1">
        <f t="array" ref="AA2:AA25">_xlfn.SEQUENCE(24,1)</f>
        <v>1</v>
      </c>
      <c r="AB2">
        <f>COUNTIF(_xlfn.ANCHORARRAY($Z$2),AA2)</f>
        <v>0</v>
      </c>
    </row>
    <row r="3" spans="1:28" x14ac:dyDescent="0.3">
      <c r="A3" s="5" t="s">
        <v>82</v>
      </c>
      <c r="B3" s="1" t="s">
        <v>41</v>
      </c>
      <c r="C3" s="1" t="s">
        <v>9</v>
      </c>
      <c r="D3" s="11">
        <v>45496.291701388887</v>
      </c>
      <c r="E3" s="1" t="s">
        <v>40</v>
      </c>
      <c r="F3" s="1" t="s">
        <v>26</v>
      </c>
      <c r="G3" s="1" t="s">
        <v>27</v>
      </c>
      <c r="H3" s="6" t="s">
        <v>6</v>
      </c>
      <c r="J3">
        <f t="shared" ref="J3:J21" si="0">MONTH(D3)</f>
        <v>7</v>
      </c>
      <c r="K3">
        <f t="shared" ref="K3:K21" si="1">DAY(D3)</f>
        <v>23</v>
      </c>
      <c r="L3">
        <f t="shared" ref="L3:L21" si="2">YEAR(D3)</f>
        <v>2024</v>
      </c>
      <c r="N3" s="9">
        <f t="shared" ref="N3:N21" si="3">DATE(L3,K3,J3)</f>
        <v>45968</v>
      </c>
      <c r="R3">
        <f t="shared" ref="R3:R21" ca="1" si="4">DATEDIF(N3,$P$2,"D")</f>
        <v>85</v>
      </c>
      <c r="T3">
        <f t="shared" ref="T3:T21" si="5">HOUR(D3)</f>
        <v>7</v>
      </c>
      <c r="U3">
        <f t="shared" ref="U3:U21" si="6">MINUTE(D3)</f>
        <v>0</v>
      </c>
      <c r="V3">
        <f t="shared" ref="V3:V21" si="7">SECOND(D3)</f>
        <v>3</v>
      </c>
      <c r="X3" s="13">
        <f t="shared" ref="X3:X21" si="8">TIME(T3,U3,V3)</f>
        <v>0.29170138888888891</v>
      </c>
      <c r="Y3" t="str">
        <f t="shared" ref="Y3:Y21" si="9">TEXT(D3, "HH:MM AM/PM")</f>
        <v>07:00 AM</v>
      </c>
      <c r="Z3">
        <v>7</v>
      </c>
      <c r="AA3">
        <v>2</v>
      </c>
      <c r="AB3">
        <f t="shared" ref="AB3:AB25" si="10">COUNTIF(_xlfn.ANCHORARRAY($Z$2),AA3)</f>
        <v>0</v>
      </c>
    </row>
    <row r="4" spans="1:28" x14ac:dyDescent="0.3">
      <c r="A4" s="5" t="s">
        <v>81</v>
      </c>
      <c r="B4" s="1" t="s">
        <v>49</v>
      </c>
      <c r="C4" s="1" t="s">
        <v>7</v>
      </c>
      <c r="D4" s="11">
        <v>45418.726354166669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5</v>
      </c>
      <c r="K4">
        <f t="shared" si="1"/>
        <v>6</v>
      </c>
      <c r="L4">
        <f t="shared" si="2"/>
        <v>2024</v>
      </c>
      <c r="N4" s="9">
        <f t="shared" si="3"/>
        <v>45448</v>
      </c>
      <c r="R4">
        <f t="shared" ca="1" si="4"/>
        <v>605</v>
      </c>
      <c r="T4">
        <f t="shared" si="5"/>
        <v>17</v>
      </c>
      <c r="U4">
        <f t="shared" si="6"/>
        <v>25</v>
      </c>
      <c r="V4">
        <f t="shared" si="7"/>
        <v>57</v>
      </c>
      <c r="X4" s="13">
        <f t="shared" si="8"/>
        <v>0.72635416666666663</v>
      </c>
      <c r="Y4" t="str">
        <f t="shared" si="9"/>
        <v>05:25 PM</v>
      </c>
      <c r="Z4">
        <v>17</v>
      </c>
      <c r="AA4">
        <v>3</v>
      </c>
      <c r="AB4">
        <f t="shared" si="10"/>
        <v>0</v>
      </c>
    </row>
    <row r="5" spans="1:28" x14ac:dyDescent="0.3">
      <c r="A5" s="5" t="s">
        <v>80</v>
      </c>
      <c r="B5" s="1" t="s">
        <v>41</v>
      </c>
      <c r="C5" s="1" t="s">
        <v>12</v>
      </c>
      <c r="D5" s="11">
        <v>45350.719236111108</v>
      </c>
      <c r="E5" s="1" t="s">
        <v>44</v>
      </c>
      <c r="F5" s="1" t="s">
        <v>24</v>
      </c>
      <c r="G5" s="1" t="s">
        <v>27</v>
      </c>
      <c r="H5" s="6" t="s">
        <v>18</v>
      </c>
      <c r="J5">
        <f t="shared" si="0"/>
        <v>2</v>
      </c>
      <c r="K5">
        <f t="shared" si="1"/>
        <v>28</v>
      </c>
      <c r="L5">
        <f t="shared" si="2"/>
        <v>2024</v>
      </c>
      <c r="N5" s="9">
        <f t="shared" si="3"/>
        <v>46114</v>
      </c>
      <c r="R5" t="e">
        <f t="shared" ca="1" si="4"/>
        <v>#NUM!</v>
      </c>
      <c r="T5">
        <f t="shared" si="5"/>
        <v>17</v>
      </c>
      <c r="U5">
        <f t="shared" si="6"/>
        <v>15</v>
      </c>
      <c r="V5">
        <f t="shared" si="7"/>
        <v>42</v>
      </c>
      <c r="X5" s="13">
        <f t="shared" si="8"/>
        <v>0.71923611111111108</v>
      </c>
      <c r="Y5" t="str">
        <f t="shared" si="9"/>
        <v>05:15 PM</v>
      </c>
      <c r="Z5">
        <v>17</v>
      </c>
      <c r="AA5">
        <v>4</v>
      </c>
      <c r="AB5">
        <f t="shared" si="10"/>
        <v>0</v>
      </c>
    </row>
    <row r="6" spans="1:28" x14ac:dyDescent="0.3">
      <c r="A6" s="5" t="s">
        <v>79</v>
      </c>
      <c r="B6" s="1" t="s">
        <v>39</v>
      </c>
      <c r="C6" s="1" t="s">
        <v>7</v>
      </c>
      <c r="D6" s="11">
        <v>45218.319780092592</v>
      </c>
      <c r="E6" s="1" t="s">
        <v>42</v>
      </c>
      <c r="F6" s="1" t="s">
        <v>30</v>
      </c>
      <c r="G6" s="1" t="s">
        <v>27</v>
      </c>
      <c r="H6" s="6" t="s">
        <v>16</v>
      </c>
      <c r="J6">
        <f t="shared" si="0"/>
        <v>10</v>
      </c>
      <c r="K6">
        <f t="shared" si="1"/>
        <v>19</v>
      </c>
      <c r="L6">
        <f t="shared" si="2"/>
        <v>2023</v>
      </c>
      <c r="N6" s="9">
        <f t="shared" si="3"/>
        <v>45483</v>
      </c>
      <c r="R6">
        <f t="shared" ca="1" si="4"/>
        <v>570</v>
      </c>
      <c r="T6">
        <f t="shared" si="5"/>
        <v>7</v>
      </c>
      <c r="U6">
        <f t="shared" si="6"/>
        <v>40</v>
      </c>
      <c r="V6">
        <f t="shared" si="7"/>
        <v>29</v>
      </c>
      <c r="X6" s="13">
        <f t="shared" si="8"/>
        <v>0.3197800925925926</v>
      </c>
      <c r="Y6" t="str">
        <f t="shared" si="9"/>
        <v>07:40 AM</v>
      </c>
      <c r="Z6">
        <v>7</v>
      </c>
      <c r="AA6">
        <v>5</v>
      </c>
      <c r="AB6">
        <f t="shared" si="10"/>
        <v>0</v>
      </c>
    </row>
    <row r="7" spans="1:28" x14ac:dyDescent="0.3">
      <c r="A7" s="5" t="s">
        <v>78</v>
      </c>
      <c r="B7" s="1" t="s">
        <v>61</v>
      </c>
      <c r="C7" s="1" t="s">
        <v>9</v>
      </c>
      <c r="D7" s="11">
        <v>45168.729328703703</v>
      </c>
      <c r="E7" s="1" t="s">
        <v>48</v>
      </c>
      <c r="F7" s="1" t="s">
        <v>32</v>
      </c>
      <c r="G7" s="1" t="s">
        <v>27</v>
      </c>
      <c r="H7" s="6" t="s">
        <v>19</v>
      </c>
      <c r="J7">
        <f t="shared" si="0"/>
        <v>8</v>
      </c>
      <c r="K7">
        <f t="shared" si="1"/>
        <v>30</v>
      </c>
      <c r="L7">
        <f t="shared" si="2"/>
        <v>2023</v>
      </c>
      <c r="N7" s="9">
        <f t="shared" si="3"/>
        <v>45816</v>
      </c>
      <c r="R7">
        <f t="shared" ca="1" si="4"/>
        <v>237</v>
      </c>
      <c r="T7">
        <f t="shared" si="5"/>
        <v>17</v>
      </c>
      <c r="U7">
        <f t="shared" si="6"/>
        <v>30</v>
      </c>
      <c r="V7">
        <f t="shared" si="7"/>
        <v>14</v>
      </c>
      <c r="X7" s="13">
        <f t="shared" si="8"/>
        <v>0.72932870370370373</v>
      </c>
      <c r="Y7" t="str">
        <f t="shared" si="9"/>
        <v>05:30 PM</v>
      </c>
      <c r="Z7">
        <v>17</v>
      </c>
      <c r="AA7">
        <v>6</v>
      </c>
      <c r="AB7">
        <f t="shared" si="10"/>
        <v>1</v>
      </c>
    </row>
    <row r="8" spans="1:28" x14ac:dyDescent="0.3">
      <c r="A8" s="5" t="s">
        <v>77</v>
      </c>
      <c r="B8" s="1" t="s">
        <v>53</v>
      </c>
      <c r="C8" s="1" t="s">
        <v>9</v>
      </c>
      <c r="D8" s="11">
        <v>45078.417256944442</v>
      </c>
      <c r="E8" s="1" t="s">
        <v>60</v>
      </c>
      <c r="F8" s="1" t="s">
        <v>28</v>
      </c>
      <c r="G8" s="1" t="s">
        <v>27</v>
      </c>
      <c r="H8" s="6" t="s">
        <v>20</v>
      </c>
      <c r="J8">
        <f t="shared" si="0"/>
        <v>6</v>
      </c>
      <c r="K8">
        <f t="shared" si="1"/>
        <v>1</v>
      </c>
      <c r="L8">
        <f t="shared" si="2"/>
        <v>2023</v>
      </c>
      <c r="N8" s="9">
        <f t="shared" si="3"/>
        <v>44932</v>
      </c>
      <c r="R8">
        <f t="shared" ca="1" si="4"/>
        <v>1121</v>
      </c>
      <c r="T8">
        <f t="shared" si="5"/>
        <v>10</v>
      </c>
      <c r="U8">
        <f t="shared" si="6"/>
        <v>0</v>
      </c>
      <c r="V8">
        <f t="shared" si="7"/>
        <v>51</v>
      </c>
      <c r="X8" s="13">
        <f t="shared" si="8"/>
        <v>0.41725694444444444</v>
      </c>
      <c r="Y8" t="str">
        <f t="shared" si="9"/>
        <v>10:00 AM</v>
      </c>
      <c r="Z8">
        <v>10</v>
      </c>
      <c r="AA8">
        <v>7</v>
      </c>
      <c r="AB8">
        <f t="shared" si="10"/>
        <v>3</v>
      </c>
    </row>
    <row r="9" spans="1:28" x14ac:dyDescent="0.3">
      <c r="A9" s="5" t="s">
        <v>76</v>
      </c>
      <c r="B9" s="1" t="s">
        <v>47</v>
      </c>
      <c r="C9" s="1" t="s">
        <v>12</v>
      </c>
      <c r="D9" s="11">
        <v>45002.490034722221</v>
      </c>
      <c r="E9" s="1" t="s">
        <v>48</v>
      </c>
      <c r="F9" s="1" t="s">
        <v>32</v>
      </c>
      <c r="G9" s="1" t="s">
        <v>38</v>
      </c>
      <c r="H9" s="6" t="s">
        <v>14</v>
      </c>
      <c r="J9">
        <f t="shared" si="0"/>
        <v>3</v>
      </c>
      <c r="K9">
        <f t="shared" si="1"/>
        <v>17</v>
      </c>
      <c r="L9">
        <f t="shared" si="2"/>
        <v>2023</v>
      </c>
      <c r="N9" s="9">
        <f t="shared" si="3"/>
        <v>45415</v>
      </c>
      <c r="R9">
        <f t="shared" ca="1" si="4"/>
        <v>638</v>
      </c>
      <c r="T9">
        <f t="shared" si="5"/>
        <v>11</v>
      </c>
      <c r="U9">
        <f t="shared" si="6"/>
        <v>45</v>
      </c>
      <c r="V9">
        <f t="shared" si="7"/>
        <v>39</v>
      </c>
      <c r="X9" s="13">
        <f t="shared" si="8"/>
        <v>0.49003472222222222</v>
      </c>
      <c r="Y9" t="str">
        <f t="shared" si="9"/>
        <v>11:45 AM</v>
      </c>
      <c r="Z9">
        <v>11</v>
      </c>
      <c r="AA9">
        <v>8</v>
      </c>
      <c r="AB9">
        <f t="shared" si="10"/>
        <v>1</v>
      </c>
    </row>
    <row r="10" spans="1:28" x14ac:dyDescent="0.3">
      <c r="A10" s="5" t="s">
        <v>75</v>
      </c>
      <c r="B10" s="1" t="s">
        <v>57</v>
      </c>
      <c r="C10" s="1" t="s">
        <v>9</v>
      </c>
      <c r="D10" s="11">
        <v>44951.552141203705</v>
      </c>
      <c r="E10" s="1" t="s">
        <v>52</v>
      </c>
      <c r="F10" s="1" t="s">
        <v>34</v>
      </c>
      <c r="G10" s="1" t="s">
        <v>33</v>
      </c>
      <c r="H10" s="6" t="s">
        <v>13</v>
      </c>
      <c r="J10">
        <f t="shared" si="0"/>
        <v>1</v>
      </c>
      <c r="K10">
        <f t="shared" si="1"/>
        <v>25</v>
      </c>
      <c r="L10">
        <f t="shared" si="2"/>
        <v>2023</v>
      </c>
      <c r="N10" s="9">
        <f t="shared" si="3"/>
        <v>45658</v>
      </c>
      <c r="R10">
        <f t="shared" ca="1" si="4"/>
        <v>395</v>
      </c>
      <c r="T10">
        <f t="shared" si="5"/>
        <v>13</v>
      </c>
      <c r="U10">
        <f t="shared" si="6"/>
        <v>15</v>
      </c>
      <c r="V10">
        <f t="shared" si="7"/>
        <v>5</v>
      </c>
      <c r="X10" s="13">
        <f t="shared" si="8"/>
        <v>0.55214120370370368</v>
      </c>
      <c r="Y10" t="str">
        <f t="shared" si="9"/>
        <v>01:15 PM</v>
      </c>
      <c r="Z10">
        <v>13</v>
      </c>
      <c r="AA10">
        <v>9</v>
      </c>
      <c r="AB10">
        <f t="shared" si="10"/>
        <v>1</v>
      </c>
    </row>
    <row r="11" spans="1:28" x14ac:dyDescent="0.3">
      <c r="A11" s="5" t="s">
        <v>74</v>
      </c>
      <c r="B11" s="1" t="s">
        <v>45</v>
      </c>
      <c r="C11" s="1" t="s">
        <v>7</v>
      </c>
      <c r="D11" s="11">
        <v>45455.284930555557</v>
      </c>
      <c r="E11" s="1" t="s">
        <v>56</v>
      </c>
      <c r="F11" s="1" t="s">
        <v>34</v>
      </c>
      <c r="G11" s="1" t="s">
        <v>37</v>
      </c>
      <c r="H11" s="6" t="s">
        <v>8</v>
      </c>
      <c r="J11">
        <f t="shared" si="0"/>
        <v>6</v>
      </c>
      <c r="K11">
        <f t="shared" si="1"/>
        <v>12</v>
      </c>
      <c r="L11">
        <f t="shared" si="2"/>
        <v>2024</v>
      </c>
      <c r="N11" s="9">
        <f t="shared" si="3"/>
        <v>45632</v>
      </c>
      <c r="R11">
        <f t="shared" ca="1" si="4"/>
        <v>421</v>
      </c>
      <c r="T11">
        <f t="shared" si="5"/>
        <v>6</v>
      </c>
      <c r="U11">
        <f t="shared" si="6"/>
        <v>50</v>
      </c>
      <c r="V11">
        <f t="shared" si="7"/>
        <v>18</v>
      </c>
      <c r="X11" s="13">
        <f t="shared" si="8"/>
        <v>0.28493055555555558</v>
      </c>
      <c r="Y11" t="str">
        <f t="shared" si="9"/>
        <v>06:50 AM</v>
      </c>
      <c r="Z11">
        <v>6</v>
      </c>
      <c r="AA11">
        <v>10</v>
      </c>
      <c r="AB11">
        <f t="shared" si="10"/>
        <v>1</v>
      </c>
    </row>
    <row r="12" spans="1:28" x14ac:dyDescent="0.3">
      <c r="A12" s="5" t="s">
        <v>73</v>
      </c>
      <c r="B12" s="1" t="s">
        <v>55</v>
      </c>
      <c r="C12" s="1" t="s">
        <v>12</v>
      </c>
      <c r="D12" s="11">
        <v>45480.608055555553</v>
      </c>
      <c r="E12" s="1" t="s">
        <v>46</v>
      </c>
      <c r="F12" s="1" t="s">
        <v>34</v>
      </c>
      <c r="G12" s="1" t="s">
        <v>37</v>
      </c>
      <c r="H12" s="6" t="s">
        <v>10</v>
      </c>
      <c r="J12">
        <f t="shared" si="0"/>
        <v>7</v>
      </c>
      <c r="K12">
        <f t="shared" si="1"/>
        <v>7</v>
      </c>
      <c r="L12">
        <f t="shared" si="2"/>
        <v>2024</v>
      </c>
      <c r="N12" s="9">
        <f t="shared" si="3"/>
        <v>45480</v>
      </c>
      <c r="R12">
        <f t="shared" ca="1" si="4"/>
        <v>573</v>
      </c>
      <c r="T12">
        <f t="shared" si="5"/>
        <v>14</v>
      </c>
      <c r="U12">
        <f t="shared" si="6"/>
        <v>35</v>
      </c>
      <c r="V12">
        <f t="shared" si="7"/>
        <v>36</v>
      </c>
      <c r="X12" s="13">
        <f t="shared" si="8"/>
        <v>0.60805555555555557</v>
      </c>
      <c r="Y12" t="str">
        <f t="shared" si="9"/>
        <v>02:35 PM</v>
      </c>
      <c r="Z12">
        <v>14</v>
      </c>
      <c r="AA12">
        <v>11</v>
      </c>
      <c r="AB12">
        <f t="shared" si="10"/>
        <v>1</v>
      </c>
    </row>
    <row r="13" spans="1:28" x14ac:dyDescent="0.3">
      <c r="A13" s="5" t="s">
        <v>72</v>
      </c>
      <c r="B13" s="1" t="s">
        <v>51</v>
      </c>
      <c r="C13" s="1" t="s">
        <v>7</v>
      </c>
      <c r="D13" s="11">
        <v>45458.743333333332</v>
      </c>
      <c r="E13" s="1" t="s">
        <v>58</v>
      </c>
      <c r="F13" s="1" t="s">
        <v>36</v>
      </c>
      <c r="G13" s="1" t="s">
        <v>31</v>
      </c>
      <c r="H13" s="6" t="s">
        <v>10</v>
      </c>
      <c r="J13">
        <f t="shared" si="0"/>
        <v>6</v>
      </c>
      <c r="K13">
        <f t="shared" si="1"/>
        <v>15</v>
      </c>
      <c r="L13">
        <f t="shared" si="2"/>
        <v>2024</v>
      </c>
      <c r="N13" s="9">
        <f t="shared" si="3"/>
        <v>45722</v>
      </c>
      <c r="R13">
        <f t="shared" ca="1" si="4"/>
        <v>331</v>
      </c>
      <c r="T13">
        <f t="shared" si="5"/>
        <v>17</v>
      </c>
      <c r="U13">
        <f t="shared" si="6"/>
        <v>50</v>
      </c>
      <c r="V13">
        <f t="shared" si="7"/>
        <v>24</v>
      </c>
      <c r="X13" s="13">
        <f t="shared" si="8"/>
        <v>0.74333333333333329</v>
      </c>
      <c r="Y13" t="str">
        <f t="shared" si="9"/>
        <v>05:50 PM</v>
      </c>
      <c r="Z13">
        <v>17</v>
      </c>
      <c r="AA13">
        <v>12</v>
      </c>
      <c r="AB13">
        <f t="shared" si="10"/>
        <v>1</v>
      </c>
    </row>
    <row r="14" spans="1:28" x14ac:dyDescent="0.3">
      <c r="A14" s="5" t="s">
        <v>71</v>
      </c>
      <c r="B14" s="1" t="s">
        <v>47</v>
      </c>
      <c r="C14" s="1" t="s">
        <v>1</v>
      </c>
      <c r="D14" s="11">
        <v>45408.340810185182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4</v>
      </c>
      <c r="K14">
        <f t="shared" si="1"/>
        <v>26</v>
      </c>
      <c r="L14">
        <f t="shared" si="2"/>
        <v>2024</v>
      </c>
      <c r="N14" s="9">
        <f t="shared" si="3"/>
        <v>46057</v>
      </c>
      <c r="R14" t="e">
        <f t="shared" ca="1" si="4"/>
        <v>#NUM!</v>
      </c>
      <c r="T14">
        <f t="shared" si="5"/>
        <v>8</v>
      </c>
      <c r="U14">
        <f t="shared" si="6"/>
        <v>10</v>
      </c>
      <c r="V14">
        <f t="shared" si="7"/>
        <v>46</v>
      </c>
      <c r="X14" s="13">
        <f t="shared" si="8"/>
        <v>0.34081018518518519</v>
      </c>
      <c r="Y14" t="str">
        <f t="shared" si="9"/>
        <v>08:10 AM</v>
      </c>
      <c r="Z14">
        <v>8</v>
      </c>
      <c r="AA14">
        <v>13</v>
      </c>
      <c r="AB14">
        <f t="shared" si="10"/>
        <v>1</v>
      </c>
    </row>
    <row r="15" spans="1:28" x14ac:dyDescent="0.3">
      <c r="A15" s="5" t="s">
        <v>70</v>
      </c>
      <c r="B15" s="1" t="s">
        <v>59</v>
      </c>
      <c r="C15" s="1" t="s">
        <v>5</v>
      </c>
      <c r="D15" s="11">
        <v>45354.687881944446</v>
      </c>
      <c r="E15" s="1" t="s">
        <v>54</v>
      </c>
      <c r="F15" s="1" t="s">
        <v>34</v>
      </c>
      <c r="G15" s="1" t="s">
        <v>31</v>
      </c>
      <c r="H15" s="6" t="s">
        <v>15</v>
      </c>
      <c r="J15">
        <f t="shared" si="0"/>
        <v>3</v>
      </c>
      <c r="K15">
        <f t="shared" si="1"/>
        <v>3</v>
      </c>
      <c r="L15">
        <f t="shared" si="2"/>
        <v>2024</v>
      </c>
      <c r="N15" s="9">
        <f t="shared" si="3"/>
        <v>45354</v>
      </c>
      <c r="R15">
        <f t="shared" ca="1" si="4"/>
        <v>699</v>
      </c>
      <c r="T15">
        <f t="shared" si="5"/>
        <v>16</v>
      </c>
      <c r="U15">
        <f t="shared" si="6"/>
        <v>30</v>
      </c>
      <c r="V15">
        <f t="shared" si="7"/>
        <v>33</v>
      </c>
      <c r="X15" s="13">
        <f t="shared" si="8"/>
        <v>0.68788194444444439</v>
      </c>
      <c r="Y15" t="str">
        <f t="shared" si="9"/>
        <v>04:30 PM</v>
      </c>
      <c r="Z15">
        <v>16</v>
      </c>
      <c r="AA15">
        <v>14</v>
      </c>
      <c r="AB15">
        <f t="shared" si="10"/>
        <v>1</v>
      </c>
    </row>
    <row r="16" spans="1:28" x14ac:dyDescent="0.3">
      <c r="A16" s="5" t="s">
        <v>69</v>
      </c>
      <c r="B16" s="1" t="s">
        <v>47</v>
      </c>
      <c r="C16" s="1" t="s">
        <v>9</v>
      </c>
      <c r="D16" s="11">
        <v>45302.531921296293</v>
      </c>
      <c r="E16" s="1" t="s">
        <v>62</v>
      </c>
      <c r="F16" s="1" t="s">
        <v>29</v>
      </c>
      <c r="G16" s="1" t="s">
        <v>31</v>
      </c>
      <c r="H16" s="6" t="s">
        <v>15</v>
      </c>
      <c r="J16">
        <f t="shared" si="0"/>
        <v>1</v>
      </c>
      <c r="K16">
        <f t="shared" si="1"/>
        <v>11</v>
      </c>
      <c r="L16">
        <f t="shared" si="2"/>
        <v>2024</v>
      </c>
      <c r="N16" s="9">
        <f t="shared" si="3"/>
        <v>45597</v>
      </c>
      <c r="R16">
        <f t="shared" ca="1" si="4"/>
        <v>456</v>
      </c>
      <c r="T16">
        <f t="shared" si="5"/>
        <v>12</v>
      </c>
      <c r="U16">
        <f t="shared" si="6"/>
        <v>45</v>
      </c>
      <c r="V16">
        <f t="shared" si="7"/>
        <v>58</v>
      </c>
      <c r="X16" s="13">
        <f t="shared" si="8"/>
        <v>0.53192129629629625</v>
      </c>
      <c r="Y16" t="str">
        <f t="shared" si="9"/>
        <v>12:45 PM</v>
      </c>
      <c r="Z16">
        <v>12</v>
      </c>
      <c r="AA16">
        <v>15</v>
      </c>
      <c r="AB16">
        <f t="shared" si="10"/>
        <v>1</v>
      </c>
    </row>
    <row r="17" spans="1:28" x14ac:dyDescent="0.3">
      <c r="A17" s="5" t="s">
        <v>68</v>
      </c>
      <c r="B17" s="1" t="s">
        <v>41</v>
      </c>
      <c r="C17" s="1" t="s">
        <v>7</v>
      </c>
      <c r="D17" s="11">
        <v>45248.70857638889</v>
      </c>
      <c r="E17" s="1" t="s">
        <v>40</v>
      </c>
      <c r="F17" s="1" t="s">
        <v>26</v>
      </c>
      <c r="G17" s="1" t="s">
        <v>31</v>
      </c>
      <c r="H17" s="6" t="s">
        <v>10</v>
      </c>
      <c r="J17">
        <f t="shared" si="0"/>
        <v>11</v>
      </c>
      <c r="K17">
        <f t="shared" si="1"/>
        <v>18</v>
      </c>
      <c r="L17">
        <f t="shared" si="2"/>
        <v>2023</v>
      </c>
      <c r="N17" s="9">
        <f t="shared" si="3"/>
        <v>45454</v>
      </c>
      <c r="R17">
        <f t="shared" ca="1" si="4"/>
        <v>599</v>
      </c>
      <c r="T17">
        <f t="shared" si="5"/>
        <v>17</v>
      </c>
      <c r="U17">
        <f t="shared" si="6"/>
        <v>0</v>
      </c>
      <c r="V17">
        <f t="shared" si="7"/>
        <v>21</v>
      </c>
      <c r="X17" s="13">
        <f t="shared" si="8"/>
        <v>0.70857638888888885</v>
      </c>
      <c r="Y17" t="str">
        <f t="shared" si="9"/>
        <v>05:00 PM</v>
      </c>
      <c r="Z17">
        <v>17</v>
      </c>
      <c r="AA17">
        <v>16</v>
      </c>
      <c r="AB17">
        <f t="shared" si="10"/>
        <v>1</v>
      </c>
    </row>
    <row r="18" spans="1:28" x14ac:dyDescent="0.3">
      <c r="A18" s="5" t="s">
        <v>67</v>
      </c>
      <c r="B18" s="1" t="s">
        <v>43</v>
      </c>
      <c r="C18" s="1" t="s">
        <v>5</v>
      </c>
      <c r="D18" s="11">
        <v>45173.302187499998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9</v>
      </c>
      <c r="K18">
        <f t="shared" si="1"/>
        <v>4</v>
      </c>
      <c r="L18">
        <f t="shared" si="2"/>
        <v>2023</v>
      </c>
      <c r="N18" s="9">
        <f t="shared" si="3"/>
        <v>45025</v>
      </c>
      <c r="R18">
        <f t="shared" ca="1" si="4"/>
        <v>1028</v>
      </c>
      <c r="T18">
        <f t="shared" si="5"/>
        <v>7</v>
      </c>
      <c r="U18">
        <f t="shared" si="6"/>
        <v>15</v>
      </c>
      <c r="V18">
        <f t="shared" si="7"/>
        <v>9</v>
      </c>
      <c r="X18" s="13">
        <f t="shared" si="8"/>
        <v>0.3021875</v>
      </c>
      <c r="Y18" t="str">
        <f t="shared" si="9"/>
        <v>07:15 AM</v>
      </c>
      <c r="Z18">
        <v>7</v>
      </c>
      <c r="AA18">
        <v>17</v>
      </c>
      <c r="AB18">
        <f t="shared" si="10"/>
        <v>7</v>
      </c>
    </row>
    <row r="19" spans="1:28" x14ac:dyDescent="0.3">
      <c r="A19" s="5" t="s">
        <v>66</v>
      </c>
      <c r="B19" s="1" t="s">
        <v>59</v>
      </c>
      <c r="C19" s="1" t="s">
        <v>12</v>
      </c>
      <c r="D19" s="11">
        <v>45128.729710648149</v>
      </c>
      <c r="E19" s="1" t="s">
        <v>50</v>
      </c>
      <c r="F19" s="1" t="s">
        <v>29</v>
      </c>
      <c r="G19" s="1" t="s">
        <v>35</v>
      </c>
      <c r="H19" s="6" t="s">
        <v>17</v>
      </c>
      <c r="J19">
        <f t="shared" si="0"/>
        <v>7</v>
      </c>
      <c r="K19">
        <f t="shared" si="1"/>
        <v>21</v>
      </c>
      <c r="L19">
        <f t="shared" si="2"/>
        <v>2023</v>
      </c>
      <c r="N19" s="9">
        <f t="shared" si="3"/>
        <v>45542</v>
      </c>
      <c r="R19">
        <f t="shared" ca="1" si="4"/>
        <v>511</v>
      </c>
      <c r="T19">
        <f t="shared" si="5"/>
        <v>17</v>
      </c>
      <c r="U19">
        <f t="shared" si="6"/>
        <v>30</v>
      </c>
      <c r="V19">
        <f t="shared" si="7"/>
        <v>47</v>
      </c>
      <c r="X19" s="13">
        <f t="shared" si="8"/>
        <v>0.72971064814814812</v>
      </c>
      <c r="Y19" t="str">
        <f t="shared" si="9"/>
        <v>05:30 PM</v>
      </c>
      <c r="Z19">
        <v>17</v>
      </c>
      <c r="AA19">
        <v>18</v>
      </c>
      <c r="AB19">
        <f t="shared" si="10"/>
        <v>0</v>
      </c>
    </row>
    <row r="20" spans="1:28" x14ac:dyDescent="0.3">
      <c r="A20" s="5" t="s">
        <v>64</v>
      </c>
      <c r="B20" s="1" t="s">
        <v>39</v>
      </c>
      <c r="C20" s="1" t="s">
        <v>5</v>
      </c>
      <c r="D20" s="11">
        <v>45055.40662037037</v>
      </c>
      <c r="E20" s="1" t="s">
        <v>42</v>
      </c>
      <c r="F20" s="1" t="s">
        <v>30</v>
      </c>
      <c r="G20" s="1" t="s">
        <v>25</v>
      </c>
      <c r="H20" s="6" t="s">
        <v>11</v>
      </c>
      <c r="J20">
        <f t="shared" si="0"/>
        <v>5</v>
      </c>
      <c r="K20">
        <f t="shared" si="1"/>
        <v>9</v>
      </c>
      <c r="L20">
        <f t="shared" si="2"/>
        <v>2023</v>
      </c>
      <c r="N20" s="9">
        <f t="shared" si="3"/>
        <v>45174</v>
      </c>
      <c r="R20">
        <f t="shared" ca="1" si="4"/>
        <v>879</v>
      </c>
      <c r="T20">
        <f t="shared" si="5"/>
        <v>9</v>
      </c>
      <c r="U20">
        <f t="shared" si="6"/>
        <v>45</v>
      </c>
      <c r="V20">
        <f t="shared" si="7"/>
        <v>32</v>
      </c>
      <c r="X20" s="13">
        <f t="shared" si="8"/>
        <v>0.40662037037037035</v>
      </c>
      <c r="Y20" t="str">
        <f t="shared" si="9"/>
        <v>09:45 AM</v>
      </c>
      <c r="Z20">
        <v>9</v>
      </c>
      <c r="AA20">
        <v>19</v>
      </c>
      <c r="AB20">
        <f t="shared" si="10"/>
        <v>0</v>
      </c>
    </row>
    <row r="21" spans="1:28" ht="15" thickBot="1" x14ac:dyDescent="0.35">
      <c r="A21" s="5" t="s">
        <v>65</v>
      </c>
      <c r="B21" s="7" t="s">
        <v>43</v>
      </c>
      <c r="C21" s="7" t="s">
        <v>1</v>
      </c>
      <c r="D21" s="12">
        <v>44971.640451388892</v>
      </c>
      <c r="E21" s="7" t="s">
        <v>42</v>
      </c>
      <c r="F21" s="7" t="s">
        <v>30</v>
      </c>
      <c r="G21" s="7" t="s">
        <v>25</v>
      </c>
      <c r="H21" s="8" t="s">
        <v>11</v>
      </c>
      <c r="J21">
        <f t="shared" si="0"/>
        <v>2</v>
      </c>
      <c r="K21">
        <f t="shared" si="1"/>
        <v>14</v>
      </c>
      <c r="L21">
        <f t="shared" si="2"/>
        <v>2023</v>
      </c>
      <c r="N21" s="9">
        <f t="shared" si="3"/>
        <v>45324</v>
      </c>
      <c r="R21">
        <f t="shared" ca="1" si="4"/>
        <v>729</v>
      </c>
      <c r="T21">
        <f t="shared" si="5"/>
        <v>15</v>
      </c>
      <c r="U21">
        <f t="shared" si="6"/>
        <v>22</v>
      </c>
      <c r="V21">
        <f t="shared" si="7"/>
        <v>15</v>
      </c>
      <c r="X21" s="13">
        <f t="shared" si="8"/>
        <v>0.64045138888888886</v>
      </c>
      <c r="Y21" t="str">
        <f t="shared" si="9"/>
        <v>03:22 PM</v>
      </c>
      <c r="Z21">
        <v>15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L24" t="s">
        <v>95</v>
      </c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sortState xmlns:xlrd2="http://schemas.microsoft.com/office/spreadsheetml/2017/richdata2" ref="A2:D21">
    <sortCondition descending="1" ref="A2:A21"/>
  </sortState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Sai Sarayu Vintha</cp:lastModifiedBy>
  <dcterms:created xsi:type="dcterms:W3CDTF">2015-06-05T18:17:20Z</dcterms:created>
  <dcterms:modified xsi:type="dcterms:W3CDTF">2026-01-31T23:17:13Z</dcterms:modified>
</cp:coreProperties>
</file>